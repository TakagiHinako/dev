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891CCD68-5095-4602-9F3E-598976B223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ItemSerch）" sheetId="2" r:id="rId2"/>
  </sheets>
  <definedNames>
    <definedName name="_xlnm.Print_Area" localSheetId="0">クラス仕様!$A$1:$BI$19</definedName>
    <definedName name="_xlnm.Print_Area" localSheetId="1">'メソッド仕様（ItemSerch）'!$A$1:$BI$50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E1" i="2"/>
  <c r="AE2" i="2" l="1"/>
</calcChain>
</file>

<file path=xl/sharedStrings.xml><?xml version="1.0" encoding="utf-8"?>
<sst xmlns="http://schemas.openxmlformats.org/spreadsheetml/2006/main" count="98" uniqueCount="81">
  <si>
    <t>クラス仕様書</t>
  </si>
  <si>
    <t>業務</t>
  </si>
  <si>
    <t>商品購入</t>
  </si>
  <si>
    <t>機能</t>
  </si>
  <si>
    <t>作成者</t>
  </si>
  <si>
    <t>幕張　太郎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</si>
  <si>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</si>
  <si>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</si>
  <si>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</si>
  <si>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</si>
  <si>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</si>
  <si>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</si>
  <si>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</si>
  <si>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</si>
  <si>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</si>
  <si>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</si>
  <si>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</si>
  <si>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</si>
  <si>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</si>
  <si>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</si>
  <si>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</si>
  <si>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</si>
  <si>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</si>
  <si>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</si>
  <si>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</si>
  <si>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</si>
  <si>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</si>
  <si>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</si>
  <si>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幕張　太郎</t>
    <phoneticPr fontId="1"/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</si>
  <si>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</si>
  <si>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</si>
  <si>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</si>
  <si>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</si>
  <si>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</si>
  <si>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ClassNotFoundException</t>
    <phoneticPr fontId="1"/>
  </si>
  <si>
    <t>JDBCドライバが読み込めなかった場合</t>
    <rPh sb="9" eb="10">
      <t>ヨ</t>
    </rPh>
    <rPh sb="11" eb="12">
      <t>コ</t>
    </rPh>
    <rPh sb="17" eb="19">
      <t>バアイ</t>
    </rPh>
    <phoneticPr fontId="1"/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</si>
  <si>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</si>
  <si>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</si>
  <si>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髙木　日向子</t>
    <rPh sb="0" eb="2">
      <t>タカギ</t>
    </rPh>
    <rPh sb="3" eb="5">
      <t>ヒナタ</t>
    </rPh>
    <rPh sb="5" eb="6">
      <t>コ</t>
    </rPh>
    <phoneticPr fontId="1"/>
  </si>
  <si>
    <t>商品検索</t>
    <rPh sb="0" eb="4">
      <t>ショウヒンケンサク</t>
    </rPh>
    <phoneticPr fontId="1"/>
  </si>
  <si>
    <t>髙木日向子</t>
    <rPh sb="0" eb="5">
      <t>タカギヒナコ</t>
    </rPh>
    <phoneticPr fontId="1"/>
  </si>
  <si>
    <t>ItemSerchService</t>
    <phoneticPr fontId="1"/>
  </si>
  <si>
    <t>ItemSerch</t>
    <phoneticPr fontId="1"/>
  </si>
  <si>
    <t>引数</t>
    <phoneticPr fontId="1"/>
  </si>
  <si>
    <t>keyword</t>
    <phoneticPr fontId="1"/>
  </si>
  <si>
    <t>categoryId</t>
    <phoneticPr fontId="1"/>
  </si>
  <si>
    <t>List&lt;ItemsDTO&gt;</t>
    <phoneticPr fontId="1"/>
  </si>
  <si>
    <t>itemList</t>
    <phoneticPr fontId="1"/>
  </si>
  <si>
    <t>String</t>
    <phoneticPr fontId="1"/>
  </si>
  <si>
    <t>int</t>
    <phoneticPr fontId="1"/>
  </si>
  <si>
    <t>商品の種類を管理するID</t>
    <rPh sb="0" eb="2">
      <t>ショウヒン</t>
    </rPh>
    <rPh sb="3" eb="5">
      <t>シュルイ</t>
    </rPh>
    <rPh sb="6" eb="8">
      <t>カンリ</t>
    </rPh>
    <phoneticPr fontId="1"/>
  </si>
  <si>
    <t>サイト利用者が入力する言葉</t>
    <rPh sb="3" eb="6">
      <t>リヨウシャ</t>
    </rPh>
    <rPh sb="7" eb="9">
      <t>ニュウリョク</t>
    </rPh>
    <rPh sb="11" eb="13">
      <t>コトバ</t>
    </rPh>
    <phoneticPr fontId="1"/>
  </si>
  <si>
    <t>オブジェクト：List&lt;ItemsDTO&gt;</t>
  </si>
  <si>
    <t>1,商品検索結果を格納するリストをインスタンス化</t>
    <phoneticPr fontId="1"/>
  </si>
  <si>
    <t>categoryIdとkeywordを受け取る。
全件検索、キーワード検索、カテゴリ検索、キーワードとカテゴリ検索を条件分岐で判定し実行する。
検索結果を戻り値として返す。</t>
    <rPh sb="58" eb="62">
      <t>ジョウケンブンキ</t>
    </rPh>
    <rPh sb="63" eb="65">
      <t>ハンテイ</t>
    </rPh>
    <phoneticPr fontId="1"/>
  </si>
  <si>
    <t>2. 例外処理</t>
    <rPh sb="3" eb="7">
      <t>レイガイショリ</t>
    </rPh>
    <phoneticPr fontId="1"/>
  </si>
  <si>
    <t>try-with-resource文</t>
    <phoneticPr fontId="1"/>
  </si>
  <si>
    <t>型：Connection</t>
    <rPh sb="0" eb="1">
      <t>カタ</t>
    </rPh>
    <phoneticPr fontId="1"/>
  </si>
  <si>
    <t>変数名：con</t>
    <rPh sb="0" eb="3">
      <t>ヘンスウメイ</t>
    </rPh>
    <phoneticPr fontId="1"/>
  </si>
  <si>
    <t>3.try</t>
    <phoneticPr fontId="1"/>
  </si>
  <si>
    <t>メソッド：findAll</t>
    <phoneticPr fontId="1"/>
  </si>
  <si>
    <t>メソッド：findByCategory</t>
    <phoneticPr fontId="1"/>
  </si>
  <si>
    <t>メソッド：findByKeyword</t>
    <phoneticPr fontId="1"/>
  </si>
  <si>
    <t>メソッド：findByBoth</t>
    <phoneticPr fontId="1"/>
  </si>
  <si>
    <t>呼び出すメソッドの条件分岐</t>
    <rPh sb="0" eb="1">
      <t>ヨ</t>
    </rPh>
    <rPh sb="2" eb="3">
      <t>ダ</t>
    </rPh>
    <phoneticPr fontId="1"/>
  </si>
  <si>
    <t>上記以外の場合</t>
    <rPh sb="0" eb="2">
      <t>ジョウキ</t>
    </rPh>
    <rPh sb="2" eb="4">
      <t>イガイ</t>
    </rPh>
    <rPh sb="5" eb="7">
      <t>バアイ</t>
    </rPh>
    <phoneticPr fontId="1"/>
  </si>
  <si>
    <t>引数：category</t>
    <rPh sb="0" eb="2">
      <t>ヒキスウ</t>
    </rPh>
    <phoneticPr fontId="1"/>
  </si>
  <si>
    <t>引数：keyword</t>
    <rPh sb="0" eb="2">
      <t>ヒキスウ</t>
    </rPh>
    <phoneticPr fontId="1"/>
  </si>
  <si>
    <t>4，結果の返却</t>
    <rPh sb="2" eb="4">
      <t>ケッカ</t>
    </rPh>
    <rPh sb="5" eb="7">
      <t>ヘンキャク</t>
    </rPh>
    <phoneticPr fontId="1"/>
  </si>
  <si>
    <t>3-1. keyword が空かつ categoryId が「すべて」の場合</t>
    <rPh sb="36" eb="38">
      <t>バアイ</t>
    </rPh>
    <phoneticPr fontId="1"/>
  </si>
  <si>
    <t>3-2. keyword が空かつ categoryId が「すべて」以外(帽子または鞄)の場合</t>
    <rPh sb="14" eb="15">
      <t>カラ</t>
    </rPh>
    <rPh sb="35" eb="37">
      <t>イガイ</t>
    </rPh>
    <rPh sb="38" eb="40">
      <t>ボウシ</t>
    </rPh>
    <rPh sb="43" eb="44">
      <t>カバン</t>
    </rPh>
    <rPh sb="46" eb="48">
      <t>バアイ</t>
    </rPh>
    <phoneticPr fontId="1"/>
  </si>
  <si>
    <t>3-3. keyword が空でないかつ categoryId が「すべて」の場合</t>
    <rPh sb="14" eb="15">
      <t>カラ</t>
    </rPh>
    <rPh sb="39" eb="41">
      <t>バアイ</t>
    </rPh>
    <phoneticPr fontId="1"/>
  </si>
  <si>
    <t>引数：categoryId</t>
    <rPh sb="0" eb="2">
      <t>ヒキスウ</t>
    </rPh>
    <phoneticPr fontId="1"/>
  </si>
  <si>
    <t>変数名：itemList</t>
    <phoneticPr fontId="1"/>
  </si>
  <si>
    <t>itemList</t>
  </si>
  <si>
    <t>例外：SQLException</t>
    <rPh sb="0" eb="2">
      <t>レイガイ</t>
    </rPh>
    <phoneticPr fontId="1"/>
  </si>
  <si>
    <t xml:space="preserve"> 呼び出し元へ例外をスロー</t>
    <phoneticPr fontId="1"/>
  </si>
  <si>
    <t xml:space="preserve"> 例外発生時</t>
    <rPh sb="1" eb="3">
      <t>レイガイ</t>
    </rPh>
    <rPh sb="3" eb="4">
      <t>ハッ</t>
    </rPh>
    <rPh sb="4" eb="5">
      <t>トキ</t>
    </rPh>
    <phoneticPr fontId="1"/>
  </si>
  <si>
    <t>※例外</t>
    <rPh sb="1" eb="3">
      <t>レイガイ</t>
    </rPh>
    <phoneticPr fontId="1"/>
  </si>
  <si>
    <t>categoryIdとkeywordを受け取り、商品の詳細情報を返すServiceクラス</t>
    <phoneticPr fontId="1"/>
  </si>
  <si>
    <t>商品検索を行い、商品の詳細情報を返すServiceクラス</t>
    <rPh sb="5" eb="6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</si>
</sst>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7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9933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10.5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horizontal="left" vertical="center"/>
    </xf>
    <xf numFmtId="0" fontId="3" fillId="0" borderId="14" xfId="0" applyFont="1" applyBorder="1">
      <alignment vertical="center"/>
    </xf>
    <xf numFmtId="0" fontId="3" fillId="0" borderId="0" xfId="0" applyFont="1" applyBorder="1">
      <alignment vertical="center"/>
    </xf>
    <xf numFmtId="0" fontId="5" fillId="0" borderId="0" xfId="0" applyFont="1" applyAlignment="1">
      <alignment vertical="top"/>
    </xf>
    <xf numFmtId="0" fontId="5" fillId="0" borderId="3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1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0" borderId="13" xfId="0" applyFont="1" applyFill="1" applyBorder="1">
      <alignment vertical="center"/>
    </xf>
    <xf numFmtId="0" fontId="3" fillId="3" borderId="11" xfId="0" applyFont="1" applyFill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left" vertical="center"/>
    </xf>
    <xf numFmtId="14" fontId="3" fillId="0" borderId="11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vertical="top"/>
    </xf>
    <xf numFmtId="0" fontId="6" fillId="0" borderId="0" xfId="0" applyFont="1">
      <alignment vertical="center"/>
    </xf>
    <xf numFmtId="49" fontId="6" fillId="0" borderId="0" xfId="0" applyNumberFormat="1" applyFont="1" applyAlignment="1">
      <alignment vertical="top"/>
    </xf>
    <xf numFmtId="49" fontId="3" fillId="0" borderId="15" xfId="0" applyNumberFormat="1" applyFont="1" applyBorder="1" applyAlignment="1">
      <alignment vertical="center"/>
    </xf>
    <xf numFmtId="49" fontId="3" fillId="0" borderId="16" xfId="0" applyNumberFormat="1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vertical="center" wrapText="1"/>
    </xf>
    <xf numFmtId="0" fontId="3" fillId="0" borderId="16" xfId="0" applyFont="1" applyBorder="1">
      <alignment vertical="center"/>
    </xf>
    <xf numFmtId="49" fontId="3" fillId="0" borderId="16" xfId="0" applyNumberFormat="1" applyFont="1" applyBorder="1" applyAlignment="1">
      <alignment vertical="top"/>
    </xf>
    <xf numFmtId="49" fontId="3" fillId="0" borderId="17" xfId="0" applyNumberFormat="1" applyFont="1" applyBorder="1" applyAlignment="1">
      <alignment vertical="top"/>
    </xf>
    <xf numFmtId="0" fontId="0" fillId="0" borderId="16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49" fontId="3" fillId="0" borderId="14" xfId="0" applyNumberFormat="1" applyFont="1" applyBorder="1" applyAlignment="1">
      <alignment vertical="top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2" t="s">
        <v>1</v>
      </c>
      <c r="N1" s="42"/>
      <c r="O1" s="42"/>
      <c r="P1" s="42"/>
      <c r="Q1" s="42"/>
      <c r="R1" s="41" t="s">
        <v>32</v>
      </c>
      <c r="S1" s="41"/>
      <c r="T1" s="41"/>
      <c r="U1" s="41"/>
      <c r="V1" s="41"/>
      <c r="W1" s="41"/>
      <c r="X1" s="41"/>
      <c r="Y1" s="41"/>
      <c r="Z1" s="41"/>
      <c r="AA1" s="41"/>
      <c r="AB1" s="42" t="s">
        <v>3</v>
      </c>
      <c r="AC1" s="42"/>
      <c r="AD1" s="42"/>
      <c r="AE1" s="41" t="s">
        <v>39</v>
      </c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4</v>
      </c>
      <c r="AR1" s="42"/>
      <c r="AS1" s="42"/>
      <c r="AT1" s="41" t="s">
        <v>5</v>
      </c>
      <c r="AU1" s="41"/>
      <c r="AV1" s="41"/>
      <c r="AW1" s="41"/>
      <c r="AX1" s="41"/>
      <c r="AY1" s="41"/>
      <c r="AZ1" s="41"/>
      <c r="BA1" s="42" t="s">
        <v>6</v>
      </c>
      <c r="BB1" s="42"/>
      <c r="BC1" s="42"/>
      <c r="BD1" s="39">
        <v>45000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7</v>
      </c>
      <c r="N2" s="42"/>
      <c r="O2" s="42"/>
      <c r="P2" s="42"/>
      <c r="Q2" s="42"/>
      <c r="R2" s="43"/>
      <c r="S2" s="43"/>
      <c r="T2" s="43"/>
      <c r="U2" s="43"/>
      <c r="V2" s="43"/>
      <c r="W2" s="43"/>
      <c r="X2" s="43"/>
      <c r="Y2" s="43"/>
      <c r="Z2" s="43"/>
      <c r="AA2" s="43"/>
      <c r="AB2" s="42" t="s">
        <v>8</v>
      </c>
      <c r="AC2" s="42"/>
      <c r="AD2" s="42"/>
      <c r="AE2" s="41" t="str">
        <f>G5</f>
        <v>ItemSerchService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 t="s">
        <v>9</v>
      </c>
      <c r="AR2" s="42"/>
      <c r="AS2" s="42"/>
      <c r="AT2" s="41" t="s">
        <v>38</v>
      </c>
      <c r="AU2" s="41"/>
      <c r="AV2" s="41"/>
      <c r="AW2" s="41"/>
      <c r="AX2" s="41"/>
      <c r="AY2" s="41"/>
      <c r="AZ2" s="41"/>
      <c r="BA2" s="42" t="s">
        <v>10</v>
      </c>
      <c r="BB2" s="42"/>
      <c r="BC2" s="42"/>
      <c r="BD2" s="39">
        <v>45553</v>
      </c>
      <c r="BE2" s="39"/>
      <c r="BF2" s="39"/>
      <c r="BG2" s="39"/>
      <c r="BH2" s="39"/>
      <c r="BI2" s="39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7" t="s">
        <v>11</v>
      </c>
      <c r="B4" s="37"/>
      <c r="C4" s="37"/>
      <c r="D4" s="37"/>
      <c r="E4" s="37"/>
      <c r="F4" s="37"/>
      <c r="G4" s="38" t="s">
        <v>80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</row>
    <row r="5" spans="1:258" ht="15" customHeight="1" x14ac:dyDescent="0.3">
      <c r="A5" s="37" t="s">
        <v>12</v>
      </c>
      <c r="B5" s="37"/>
      <c r="C5" s="37"/>
      <c r="D5" s="37"/>
      <c r="E5" s="37"/>
      <c r="F5" s="37"/>
      <c r="G5" s="38" t="s">
        <v>41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</row>
    <row r="6" spans="1:258" ht="15" customHeight="1" x14ac:dyDescent="0.3">
      <c r="A6" s="37" t="s">
        <v>29</v>
      </c>
      <c r="B6" s="37"/>
      <c r="C6" s="37"/>
      <c r="D6" s="37"/>
      <c r="E6" s="37"/>
      <c r="F6" s="37"/>
      <c r="G6" s="38" t="s">
        <v>13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7" t="s">
        <v>30</v>
      </c>
      <c r="AE6" s="37"/>
      <c r="AF6" s="37"/>
      <c r="AG6" s="37"/>
      <c r="AH6" s="37"/>
      <c r="AI6" s="37"/>
      <c r="AJ6" s="38" t="s">
        <v>31</v>
      </c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</row>
    <row r="8" spans="1:258" ht="15" customHeight="1" x14ac:dyDescent="0.3">
      <c r="A8" s="37" t="s">
        <v>14</v>
      </c>
      <c r="B8" s="37"/>
      <c r="C8" s="37"/>
      <c r="D8" s="37"/>
      <c r="E8" s="37"/>
      <c r="F8" s="37"/>
      <c r="G8" s="37"/>
      <c r="H8" s="37"/>
      <c r="I8" s="37"/>
      <c r="J8" s="37"/>
      <c r="K8" s="37" t="s">
        <v>15</v>
      </c>
      <c r="L8" s="37"/>
      <c r="M8" s="37"/>
      <c r="N8" s="37"/>
      <c r="O8" s="37"/>
      <c r="P8" s="37"/>
      <c r="Q8" s="37"/>
      <c r="R8" s="37"/>
      <c r="S8" s="37"/>
      <c r="T8" s="37"/>
      <c r="U8" s="37" t="s">
        <v>16</v>
      </c>
      <c r="V8" s="37"/>
      <c r="W8" s="37"/>
      <c r="X8" s="37"/>
      <c r="Y8" s="37"/>
      <c r="Z8" s="37"/>
      <c r="AA8" s="37"/>
      <c r="AB8" s="37"/>
      <c r="AC8" s="37"/>
      <c r="AD8" s="37"/>
      <c r="AE8" s="37" t="s">
        <v>17</v>
      </c>
      <c r="AF8" s="37"/>
      <c r="AG8" s="37"/>
      <c r="AH8" s="37"/>
      <c r="AI8" s="37"/>
      <c r="AJ8" s="37"/>
      <c r="AK8" s="37"/>
      <c r="AL8" s="37"/>
      <c r="AM8" s="37"/>
      <c r="AN8" s="37"/>
      <c r="AO8" s="37" t="s">
        <v>18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</row>
    <row r="9" spans="1:258" ht="15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</row>
    <row r="10" spans="1:258" ht="15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</row>
    <row r="11" spans="1:258" ht="15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</row>
    <row r="13" spans="1:258" ht="15" customHeight="1" x14ac:dyDescent="0.3">
      <c r="A13" s="37" t="s">
        <v>19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</row>
    <row r="14" spans="1:258" ht="15" customHeight="1" x14ac:dyDescent="0.3">
      <c r="A14" s="38" t="s">
        <v>54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</row>
    <row r="15" spans="1:258" ht="15" customHeight="1" x14ac:dyDescent="0.3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</row>
    <row r="16" spans="1:258" ht="15" customHeight="1" x14ac:dyDescent="0.3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</row>
    <row r="17" spans="1:61" ht="15" customHeight="1" x14ac:dyDescent="0.3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</row>
    <row r="18" spans="1:61" ht="15" customHeight="1" x14ac:dyDescent="0.3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</row>
    <row r="19" spans="1:61" ht="15" customHeight="1" x14ac:dyDescent="0.3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51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2" t="s">
        <v>1</v>
      </c>
      <c r="N1" s="42"/>
      <c r="O1" s="42"/>
      <c r="P1" s="42"/>
      <c r="Q1" s="42"/>
      <c r="R1" s="41" t="s">
        <v>2</v>
      </c>
      <c r="S1" s="41"/>
      <c r="T1" s="41"/>
      <c r="U1" s="41"/>
      <c r="V1" s="41"/>
      <c r="W1" s="41"/>
      <c r="X1" s="41"/>
      <c r="Y1" s="41"/>
      <c r="Z1" s="41"/>
      <c r="AA1" s="41"/>
      <c r="AB1" s="42" t="s">
        <v>3</v>
      </c>
      <c r="AC1" s="42"/>
      <c r="AD1" s="42"/>
      <c r="AE1" s="41" t="str">
        <f>クラス仕様!AE1</f>
        <v>商品検索</v>
      </c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2" t="s">
        <v>4</v>
      </c>
      <c r="AR1" s="42"/>
      <c r="AS1" s="42"/>
      <c r="AT1" s="41" t="s">
        <v>28</v>
      </c>
      <c r="AU1" s="41"/>
      <c r="AV1" s="41"/>
      <c r="AW1" s="41"/>
      <c r="AX1" s="41"/>
      <c r="AY1" s="41"/>
      <c r="AZ1" s="41"/>
      <c r="BA1" s="42" t="s">
        <v>6</v>
      </c>
      <c r="BB1" s="42"/>
      <c r="BC1" s="42"/>
      <c r="BD1" s="39">
        <v>45000</v>
      </c>
      <c r="BE1" s="39"/>
      <c r="BF1" s="39"/>
      <c r="BG1" s="39"/>
      <c r="BH1" s="39"/>
      <c r="BI1" s="39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2" t="s">
        <v>7</v>
      </c>
      <c r="N2" s="42"/>
      <c r="O2" s="42"/>
      <c r="P2" s="42"/>
      <c r="Q2" s="42"/>
      <c r="R2" s="43"/>
      <c r="S2" s="43"/>
      <c r="T2" s="43"/>
      <c r="U2" s="43"/>
      <c r="V2" s="43"/>
      <c r="W2" s="43"/>
      <c r="X2" s="43"/>
      <c r="Y2" s="43"/>
      <c r="Z2" s="43"/>
      <c r="AA2" s="43"/>
      <c r="AB2" s="42" t="s">
        <v>8</v>
      </c>
      <c r="AC2" s="42"/>
      <c r="AD2" s="42"/>
      <c r="AE2" s="41" t="str">
        <f>クラス仕様!G5</f>
        <v>ItemSerchService</v>
      </c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 t="s">
        <v>9</v>
      </c>
      <c r="AR2" s="42"/>
      <c r="AS2" s="42"/>
      <c r="AT2" s="41" t="s">
        <v>40</v>
      </c>
      <c r="AU2" s="41"/>
      <c r="AV2" s="41"/>
      <c r="AW2" s="41"/>
      <c r="AX2" s="41"/>
      <c r="AY2" s="41"/>
      <c r="AZ2" s="41"/>
      <c r="BA2" s="42" t="s">
        <v>10</v>
      </c>
      <c r="BB2" s="42"/>
      <c r="BC2" s="42"/>
      <c r="BD2" s="53">
        <v>45568</v>
      </c>
      <c r="BE2" s="54"/>
      <c r="BF2" s="54"/>
      <c r="BG2" s="54"/>
      <c r="BH2" s="54"/>
      <c r="BI2" s="5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7" t="s">
        <v>20</v>
      </c>
      <c r="B4" s="37"/>
      <c r="C4" s="37"/>
      <c r="D4" s="37"/>
      <c r="E4" s="37"/>
      <c r="F4" s="37"/>
      <c r="G4" s="38" t="s">
        <v>79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7" t="s">
        <v>21</v>
      </c>
      <c r="B5" s="37"/>
      <c r="C5" s="37"/>
      <c r="D5" s="37"/>
      <c r="E5" s="37"/>
      <c r="F5" s="37"/>
      <c r="G5" s="38" t="s">
        <v>42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6" t="s">
        <v>22</v>
      </c>
      <c r="B7" s="46"/>
      <c r="C7" s="46"/>
      <c r="D7" s="46" t="s">
        <v>23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 t="s">
        <v>15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 t="s">
        <v>18</v>
      </c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46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0" t="s">
        <v>43</v>
      </c>
      <c r="B8" s="51"/>
      <c r="C8" s="52"/>
      <c r="D8" s="50" t="s">
        <v>45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2"/>
      <c r="P8" s="50" t="s">
        <v>49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2"/>
      <c r="AE8" s="50" t="s">
        <v>50</v>
      </c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2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7" t="s">
        <v>24</v>
      </c>
      <c r="B9" s="48"/>
      <c r="C9" s="49"/>
      <c r="D9" s="47" t="s">
        <v>44</v>
      </c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  <c r="P9" s="47" t="s">
        <v>48</v>
      </c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9"/>
      <c r="AE9" s="47" t="s">
        <v>51</v>
      </c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9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4" t="s">
        <v>25</v>
      </c>
      <c r="B10" s="44"/>
      <c r="C10" s="44"/>
      <c r="D10" s="45" t="s">
        <v>47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 t="s">
        <v>46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36" t="s">
        <v>33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 t="s">
        <v>34</v>
      </c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 t="s">
        <v>35</v>
      </c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4" t="s">
        <v>33</v>
      </c>
      <c r="B12" s="44"/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 t="s">
        <v>36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 t="s">
        <v>37</v>
      </c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6" t="s">
        <v>26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 t="s">
        <v>7</v>
      </c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 t="s">
        <v>27</v>
      </c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5" t="s">
        <v>45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  <c r="P15" s="33" t="s">
        <v>53</v>
      </c>
      <c r="Q15" s="35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9"/>
      <c r="AT15" s="5"/>
      <c r="AU15" s="6" t="s">
        <v>74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7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0" t="s">
        <v>44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34"/>
      <c r="Q16" s="32" t="s">
        <v>52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6"/>
      <c r="AT16" s="10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3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0"/>
      <c r="B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34"/>
      <c r="Q17" s="32" t="s">
        <v>73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6"/>
      <c r="AT17" s="10"/>
      <c r="AU17" s="11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3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0"/>
      <c r="B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4"/>
      <c r="R18" s="27"/>
      <c r="T18" s="15"/>
      <c r="U18" s="28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6"/>
      <c r="AT18" s="10"/>
      <c r="AU18" s="11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3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0"/>
      <c r="B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56" t="s">
        <v>55</v>
      </c>
      <c r="Q19" s="57"/>
      <c r="R19" s="57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6"/>
      <c r="AT19" s="10"/>
      <c r="AU19" s="11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3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0"/>
      <c r="B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56"/>
      <c r="Q20" s="57" t="s">
        <v>56</v>
      </c>
      <c r="R20" s="57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6"/>
      <c r="AT20" s="10"/>
      <c r="AU20" s="11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3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0"/>
      <c r="B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56"/>
      <c r="Q21" s="57"/>
      <c r="R21" s="57" t="s">
        <v>57</v>
      </c>
      <c r="T21" s="15"/>
      <c r="U21" s="28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  <c r="AT21" s="10"/>
      <c r="AU21" s="11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3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0"/>
      <c r="B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56"/>
      <c r="R22" s="57" t="s">
        <v>58</v>
      </c>
      <c r="S22" s="27"/>
      <c r="T22" s="15"/>
      <c r="U22" s="15"/>
      <c r="V22" s="28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6"/>
      <c r="AT22" s="10"/>
      <c r="AU22" s="11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3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0"/>
      <c r="B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56"/>
      <c r="S23" s="15"/>
      <c r="T23" s="15"/>
      <c r="U23" s="15"/>
      <c r="V23" s="27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6"/>
      <c r="AT23" s="10"/>
      <c r="AU23" s="11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3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0"/>
      <c r="B24" s="11"/>
      <c r="C24" s="12"/>
      <c r="D24" s="17"/>
      <c r="E24" s="17"/>
      <c r="F24" s="17"/>
      <c r="G24" s="12"/>
      <c r="H24" s="12"/>
      <c r="I24" s="12"/>
      <c r="J24" s="12"/>
      <c r="K24" s="12"/>
      <c r="L24" s="12"/>
      <c r="M24" s="12"/>
      <c r="N24" s="12"/>
      <c r="O24" s="13"/>
      <c r="P24" s="14" t="s">
        <v>59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6"/>
      <c r="AT24" s="10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3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0"/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30"/>
      <c r="Q25" s="57" t="s">
        <v>64</v>
      </c>
      <c r="S25" s="57"/>
      <c r="U25" s="18"/>
      <c r="V25" s="18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6"/>
      <c r="AT25" s="10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3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0"/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30"/>
      <c r="R26" s="58" t="s">
        <v>69</v>
      </c>
      <c r="S26" s="57"/>
      <c r="U26" s="29"/>
      <c r="V26" s="18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6"/>
      <c r="AT26" s="10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3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0"/>
      <c r="B27" s="11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30"/>
      <c r="R27" s="58"/>
      <c r="S27" s="58" t="s">
        <v>60</v>
      </c>
      <c r="T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6"/>
      <c r="AT27" s="10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3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0"/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30"/>
      <c r="R28" s="58"/>
      <c r="S28" s="57"/>
      <c r="U28" s="18"/>
      <c r="V28" s="18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6"/>
      <c r="AT28" s="10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3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0"/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30"/>
      <c r="U29" s="29"/>
      <c r="V29" s="18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6"/>
      <c r="AT29" s="10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3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0"/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30"/>
      <c r="R30" s="2" t="s">
        <v>70</v>
      </c>
      <c r="T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6"/>
      <c r="AT30" s="10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3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0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30"/>
      <c r="R31" s="58"/>
      <c r="S31" s="57" t="s">
        <v>61</v>
      </c>
      <c r="T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6"/>
      <c r="AT31" s="10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3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0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30"/>
      <c r="R32" s="58"/>
      <c r="S32" s="58" t="s">
        <v>66</v>
      </c>
      <c r="T32" s="15"/>
      <c r="U32" s="27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6"/>
      <c r="AT32" s="10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3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10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30"/>
      <c r="R33" s="57"/>
      <c r="T33" s="15"/>
      <c r="V33" s="27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6"/>
      <c r="AT33" s="10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3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10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31"/>
      <c r="R34" s="57" t="s">
        <v>71</v>
      </c>
      <c r="S34" s="58"/>
      <c r="T34" s="15"/>
      <c r="V34" s="27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6"/>
      <c r="AT34" s="10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3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10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4"/>
      <c r="R35" s="57"/>
      <c r="S35" s="58" t="s">
        <v>62</v>
      </c>
      <c r="T35" s="15"/>
      <c r="V35" s="27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6"/>
      <c r="AT35" s="10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3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A36" s="10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4"/>
      <c r="R36" s="57"/>
      <c r="S36" s="58" t="s">
        <v>67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6"/>
      <c r="AT36" s="10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3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10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4"/>
      <c r="R37" s="57"/>
      <c r="T37" s="15"/>
      <c r="U37" s="15"/>
      <c r="V37" s="15"/>
      <c r="W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6"/>
      <c r="AT37" s="10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3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A38" s="10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R38" s="2" t="s">
        <v>65</v>
      </c>
      <c r="S38" s="58"/>
      <c r="T38" s="15"/>
      <c r="U38" s="15"/>
      <c r="V38" s="15"/>
      <c r="W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6"/>
      <c r="AT38" s="10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3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A39" s="10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R39" s="58"/>
      <c r="S39" s="58" t="s">
        <v>63</v>
      </c>
      <c r="T39" s="15"/>
      <c r="U39" s="15"/>
      <c r="V39" s="15"/>
      <c r="W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6"/>
      <c r="AT39" s="10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3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10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4"/>
      <c r="R40" s="58"/>
      <c r="S40" s="58" t="s">
        <v>72</v>
      </c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6"/>
      <c r="AT40" s="10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3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10"/>
      <c r="H41" s="12"/>
      <c r="I41" s="12"/>
      <c r="J41" s="12"/>
      <c r="K41" s="12"/>
      <c r="L41" s="12"/>
      <c r="M41" s="12"/>
      <c r="N41" s="12"/>
      <c r="O41" s="13"/>
      <c r="P41" s="14"/>
      <c r="S41" s="58" t="s">
        <v>67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6"/>
      <c r="AT41" s="10"/>
      <c r="AU41" s="12"/>
      <c r="AV41" s="11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3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10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9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6"/>
      <c r="AT42" s="10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3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1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4" t="s">
        <v>68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6"/>
      <c r="AT43" s="10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3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14"/>
      <c r="Q44" s="2" t="s">
        <v>74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6"/>
      <c r="AT44" s="10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3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s="63" customFormat="1" ht="15" customHeight="1" x14ac:dyDescent="0.3">
      <c r="A45" s="59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/>
      <c r="P45" s="62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5"/>
      <c r="AT45" s="59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1"/>
      <c r="BJ45" s="66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66"/>
      <c r="BW45" s="66"/>
      <c r="BX45" s="66"/>
      <c r="BY45" s="66"/>
      <c r="BZ45" s="66"/>
      <c r="CA45" s="66"/>
      <c r="CB45" s="66"/>
      <c r="CC45" s="66"/>
      <c r="CD45" s="66"/>
      <c r="CE45" s="66"/>
      <c r="CF45" s="66"/>
      <c r="CG45" s="66"/>
      <c r="CH45" s="66"/>
      <c r="CI45" s="66"/>
      <c r="CJ45" s="66"/>
      <c r="CK45" s="66"/>
      <c r="CL45" s="66"/>
      <c r="CM45" s="66"/>
      <c r="CN45" s="66"/>
      <c r="CO45" s="66"/>
      <c r="CP45" s="66"/>
      <c r="CQ45" s="66"/>
      <c r="CR45" s="66"/>
      <c r="CS45" s="66"/>
      <c r="CT45" s="66"/>
      <c r="CU45" s="66"/>
      <c r="CV45" s="66"/>
      <c r="CW45" s="66"/>
      <c r="CX45" s="66"/>
      <c r="CY45" s="66"/>
      <c r="CZ45" s="66"/>
      <c r="DA45" s="66"/>
      <c r="DB45" s="66"/>
      <c r="DC45" s="66"/>
      <c r="DD45" s="66"/>
      <c r="DE45" s="66"/>
      <c r="DF45" s="66"/>
      <c r="DG45" s="66"/>
      <c r="DH45" s="66"/>
      <c r="DI45" s="66"/>
      <c r="DJ45" s="66"/>
      <c r="DK45" s="66"/>
      <c r="DL45" s="66"/>
      <c r="DM45" s="66"/>
      <c r="DN45" s="66"/>
      <c r="DO45" s="66"/>
      <c r="DP45" s="66"/>
      <c r="DQ45" s="66"/>
      <c r="DR45" s="66"/>
      <c r="DS45" s="66"/>
      <c r="DT45" s="66"/>
      <c r="DU45" s="66"/>
      <c r="DV45" s="66"/>
      <c r="DW45" s="66"/>
      <c r="DX45" s="66"/>
      <c r="DY45" s="66"/>
      <c r="DZ45" s="66"/>
      <c r="EA45" s="66"/>
      <c r="EB45" s="66"/>
      <c r="EC45" s="66"/>
      <c r="ED45" s="66"/>
      <c r="EE45" s="66"/>
      <c r="EF45" s="66"/>
      <c r="EG45" s="66"/>
      <c r="EH45" s="66"/>
      <c r="EI45" s="66"/>
      <c r="EJ45" s="66"/>
      <c r="EK45" s="66"/>
      <c r="EL45" s="66"/>
      <c r="EM45" s="66"/>
      <c r="EN45" s="66"/>
      <c r="EO45" s="66"/>
      <c r="EP45" s="66"/>
      <c r="EQ45" s="66"/>
      <c r="ER45" s="66"/>
      <c r="ES45" s="66"/>
      <c r="ET45" s="66"/>
      <c r="EU45" s="66"/>
      <c r="EV45" s="66"/>
      <c r="EW45" s="66"/>
      <c r="EX45" s="66"/>
      <c r="EY45" s="66"/>
      <c r="EZ45" s="66"/>
      <c r="FA45" s="66"/>
      <c r="FB45" s="66"/>
      <c r="FC45" s="66"/>
      <c r="FD45" s="66"/>
      <c r="FE45" s="66"/>
      <c r="FF45" s="66"/>
      <c r="FG45" s="66"/>
      <c r="FH45" s="66"/>
      <c r="FI45" s="66"/>
      <c r="FJ45" s="66"/>
      <c r="FK45" s="66"/>
      <c r="FL45" s="66"/>
      <c r="FM45" s="66"/>
      <c r="FN45" s="66"/>
      <c r="FO45" s="66"/>
      <c r="FP45" s="66"/>
      <c r="FQ45" s="66"/>
      <c r="FR45" s="66"/>
      <c r="FS45" s="66"/>
      <c r="FT45" s="66"/>
      <c r="FU45" s="66"/>
      <c r="FV45" s="66"/>
      <c r="FW45" s="66"/>
      <c r="FX45" s="66"/>
      <c r="FY45" s="66"/>
      <c r="FZ45" s="66"/>
      <c r="GA45" s="66"/>
      <c r="GB45" s="66"/>
      <c r="GC45" s="66"/>
      <c r="GD45" s="66"/>
      <c r="GE45" s="66"/>
      <c r="GF45" s="66"/>
      <c r="GG45" s="66"/>
      <c r="GH45" s="66"/>
      <c r="GI45" s="66"/>
      <c r="GJ45" s="66"/>
      <c r="GK45" s="66"/>
      <c r="GL45" s="66"/>
      <c r="GM45" s="66"/>
      <c r="GN45" s="66"/>
      <c r="GO45" s="66"/>
      <c r="GP45" s="66"/>
      <c r="GQ45" s="66"/>
      <c r="GR45" s="66"/>
      <c r="GS45" s="66"/>
      <c r="GT45" s="66"/>
      <c r="GU45" s="66"/>
      <c r="GV45" s="66"/>
      <c r="GW45" s="66"/>
      <c r="GX45" s="66"/>
      <c r="GY45" s="66"/>
      <c r="GZ45" s="66"/>
      <c r="HA45" s="66"/>
      <c r="HB45" s="66"/>
      <c r="HC45" s="66"/>
      <c r="HD45" s="66"/>
      <c r="HE45" s="66"/>
      <c r="HF45" s="66"/>
      <c r="HG45" s="66"/>
      <c r="HH45" s="66"/>
      <c r="HI45" s="66"/>
      <c r="HJ45" s="66"/>
      <c r="HK45" s="66"/>
      <c r="HL45" s="66"/>
      <c r="HM45" s="66"/>
      <c r="HN45" s="66"/>
      <c r="HO45" s="66"/>
      <c r="HP45" s="66"/>
      <c r="HQ45" s="66"/>
      <c r="HR45" s="66"/>
      <c r="HS45" s="66"/>
      <c r="HT45" s="66"/>
      <c r="HU45" s="66"/>
      <c r="HV45" s="66"/>
      <c r="HW45" s="66"/>
      <c r="HX45" s="66"/>
      <c r="HY45" s="66"/>
      <c r="HZ45" s="66"/>
      <c r="IA45" s="66"/>
      <c r="IB45" s="66"/>
      <c r="IC45" s="66"/>
      <c r="ID45" s="66"/>
      <c r="IE45" s="66"/>
      <c r="IF45" s="66"/>
      <c r="IG45" s="66"/>
      <c r="IH45" s="66"/>
      <c r="II45" s="66"/>
      <c r="IJ45" s="66"/>
      <c r="IK45" s="66"/>
      <c r="IL45" s="66"/>
      <c r="IM45" s="66"/>
      <c r="IN45" s="66"/>
      <c r="IO45" s="66"/>
      <c r="IP45" s="66"/>
      <c r="IQ45" s="66"/>
      <c r="IR45" s="66"/>
      <c r="IS45" s="66"/>
      <c r="IT45" s="66"/>
      <c r="IU45" s="66"/>
      <c r="IV45" s="66"/>
      <c r="IW45" s="66"/>
      <c r="IX45" s="66"/>
    </row>
    <row r="46" spans="1:258" s="31" customFormat="1" ht="15" customHeight="1" x14ac:dyDescent="0.3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4" t="s">
        <v>78</v>
      </c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6"/>
      <c r="AT46" s="10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3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  <c r="CY46" s="67"/>
      <c r="CZ46" s="67"/>
      <c r="DA46" s="67"/>
      <c r="DB46" s="67"/>
      <c r="DC46" s="67"/>
      <c r="DD46" s="67"/>
      <c r="DE46" s="67"/>
      <c r="DF46" s="67"/>
      <c r="DG46" s="67"/>
      <c r="DH46" s="67"/>
      <c r="DI46" s="67"/>
      <c r="DJ46" s="67"/>
      <c r="DK46" s="67"/>
      <c r="DL46" s="67"/>
      <c r="DM46" s="67"/>
      <c r="DN46" s="67"/>
      <c r="DO46" s="67"/>
      <c r="DP46" s="67"/>
      <c r="DQ46" s="67"/>
      <c r="DR46" s="67"/>
      <c r="DS46" s="67"/>
      <c r="DT46" s="67"/>
      <c r="DU46" s="67"/>
      <c r="DV46" s="67"/>
      <c r="DW46" s="67"/>
      <c r="DX46" s="67"/>
      <c r="DY46" s="67"/>
      <c r="DZ46" s="67"/>
      <c r="EA46" s="67"/>
      <c r="EB46" s="67"/>
      <c r="EC46" s="67"/>
      <c r="ED46" s="67"/>
      <c r="EE46" s="67"/>
      <c r="EF46" s="67"/>
      <c r="EG46" s="67"/>
      <c r="EH46" s="67"/>
      <c r="EI46" s="67"/>
      <c r="EJ46" s="67"/>
      <c r="EK46" s="67"/>
      <c r="EL46" s="67"/>
      <c r="EM46" s="67"/>
      <c r="EN46" s="67"/>
      <c r="EO46" s="67"/>
      <c r="EP46" s="67"/>
      <c r="EQ46" s="67"/>
      <c r="ER46" s="67"/>
      <c r="ES46" s="67"/>
      <c r="ET46" s="67"/>
      <c r="EU46" s="67"/>
      <c r="EV46" s="67"/>
      <c r="EW46" s="67"/>
      <c r="EX46" s="67"/>
      <c r="EY46" s="67"/>
      <c r="EZ46" s="67"/>
      <c r="FA46" s="67"/>
      <c r="FB46" s="67"/>
      <c r="FC46" s="67"/>
      <c r="FD46" s="67"/>
      <c r="FE46" s="67"/>
      <c r="FF46" s="67"/>
      <c r="FG46" s="67"/>
      <c r="FH46" s="67"/>
      <c r="FI46" s="67"/>
      <c r="FJ46" s="67"/>
      <c r="FK46" s="67"/>
      <c r="FL46" s="67"/>
      <c r="FM46" s="67"/>
      <c r="FN46" s="67"/>
      <c r="FO46" s="67"/>
      <c r="FP46" s="67"/>
      <c r="FQ46" s="67"/>
      <c r="FR46" s="67"/>
      <c r="FS46" s="67"/>
      <c r="FT46" s="67"/>
      <c r="FU46" s="67"/>
      <c r="FV46" s="67"/>
      <c r="FW46" s="67"/>
      <c r="FX46" s="67"/>
      <c r="FY46" s="67"/>
      <c r="FZ46" s="67"/>
      <c r="GA46" s="67"/>
      <c r="GB46" s="67"/>
      <c r="GC46" s="67"/>
      <c r="GD46" s="67"/>
      <c r="GE46" s="67"/>
      <c r="GF46" s="67"/>
      <c r="GG46" s="67"/>
      <c r="GH46" s="67"/>
      <c r="GI46" s="67"/>
      <c r="GJ46" s="67"/>
      <c r="GK46" s="67"/>
      <c r="GL46" s="67"/>
      <c r="GM46" s="67"/>
      <c r="GN46" s="67"/>
      <c r="GO46" s="67"/>
      <c r="GP46" s="67"/>
      <c r="GQ46" s="67"/>
      <c r="GR46" s="67"/>
      <c r="GS46" s="67"/>
      <c r="GT46" s="67"/>
      <c r="GU46" s="67"/>
      <c r="GV46" s="67"/>
      <c r="GW46" s="67"/>
      <c r="GX46" s="67"/>
      <c r="GY46" s="67"/>
      <c r="GZ46" s="67"/>
      <c r="HA46" s="67"/>
      <c r="HB46" s="67"/>
      <c r="HC46" s="67"/>
      <c r="HD46" s="67"/>
      <c r="HE46" s="67"/>
      <c r="HF46" s="67"/>
      <c r="HG46" s="67"/>
      <c r="HH46" s="67"/>
      <c r="HI46" s="67"/>
      <c r="HJ46" s="67"/>
      <c r="HK46" s="67"/>
      <c r="HL46" s="67"/>
      <c r="HM46" s="67"/>
      <c r="HN46" s="67"/>
      <c r="HO46" s="67"/>
      <c r="HP46" s="67"/>
      <c r="HQ46" s="67"/>
      <c r="HR46" s="67"/>
      <c r="HS46" s="67"/>
      <c r="HT46" s="67"/>
      <c r="HU46" s="67"/>
      <c r="HV46" s="67"/>
      <c r="HW46" s="67"/>
      <c r="HX46" s="67"/>
      <c r="HY46" s="67"/>
      <c r="HZ46" s="67"/>
      <c r="IA46" s="67"/>
      <c r="IB46" s="67"/>
      <c r="IC46" s="67"/>
      <c r="ID46" s="67"/>
      <c r="IE46" s="67"/>
      <c r="IF46" s="67"/>
      <c r="IG46" s="67"/>
      <c r="IH46" s="67"/>
      <c r="II46" s="67"/>
      <c r="IJ46" s="67"/>
      <c r="IK46" s="67"/>
      <c r="IL46" s="67"/>
      <c r="IM46" s="67"/>
      <c r="IN46" s="67"/>
      <c r="IO46" s="67"/>
      <c r="IP46" s="67"/>
      <c r="IQ46" s="67"/>
      <c r="IR46" s="67"/>
      <c r="IS46" s="67"/>
      <c r="IT46" s="67"/>
      <c r="IU46" s="67"/>
      <c r="IV46" s="67"/>
      <c r="IW46" s="67"/>
      <c r="IX46" s="67"/>
    </row>
    <row r="47" spans="1:258" s="31" customFormat="1" ht="15" customHeight="1" x14ac:dyDescent="0.3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68"/>
      <c r="Q47" s="58" t="s">
        <v>77</v>
      </c>
      <c r="R47" s="58"/>
      <c r="S47" s="58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6"/>
      <c r="AT47" s="10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3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  <c r="CW47" s="67"/>
      <c r="CX47" s="67"/>
      <c r="CY47" s="67"/>
      <c r="CZ47" s="67"/>
      <c r="DA47" s="67"/>
      <c r="DB47" s="67"/>
      <c r="DC47" s="67"/>
      <c r="DD47" s="67"/>
      <c r="DE47" s="67"/>
      <c r="DF47" s="67"/>
      <c r="DG47" s="67"/>
      <c r="DH47" s="67"/>
      <c r="DI47" s="67"/>
      <c r="DJ47" s="67"/>
      <c r="DK47" s="67"/>
      <c r="DL47" s="67"/>
      <c r="DM47" s="67"/>
      <c r="DN47" s="67"/>
      <c r="DO47" s="67"/>
      <c r="DP47" s="67"/>
      <c r="DQ47" s="67"/>
      <c r="DR47" s="67"/>
      <c r="DS47" s="67"/>
      <c r="DT47" s="67"/>
      <c r="DU47" s="67"/>
      <c r="DV47" s="67"/>
      <c r="DW47" s="67"/>
      <c r="DX47" s="67"/>
      <c r="DY47" s="67"/>
      <c r="DZ47" s="67"/>
      <c r="EA47" s="67"/>
      <c r="EB47" s="67"/>
      <c r="EC47" s="67"/>
      <c r="ED47" s="67"/>
      <c r="EE47" s="67"/>
      <c r="EF47" s="67"/>
      <c r="EG47" s="67"/>
      <c r="EH47" s="67"/>
      <c r="EI47" s="67"/>
      <c r="EJ47" s="67"/>
      <c r="EK47" s="67"/>
      <c r="EL47" s="67"/>
      <c r="EM47" s="67"/>
      <c r="EN47" s="67"/>
      <c r="EO47" s="67"/>
      <c r="EP47" s="67"/>
      <c r="EQ47" s="67"/>
      <c r="ER47" s="67"/>
      <c r="ES47" s="67"/>
      <c r="ET47" s="67"/>
      <c r="EU47" s="67"/>
      <c r="EV47" s="67"/>
      <c r="EW47" s="67"/>
      <c r="EX47" s="67"/>
      <c r="EY47" s="67"/>
      <c r="EZ47" s="67"/>
      <c r="FA47" s="67"/>
      <c r="FB47" s="67"/>
      <c r="FC47" s="67"/>
      <c r="FD47" s="67"/>
      <c r="FE47" s="67"/>
      <c r="FF47" s="67"/>
      <c r="FG47" s="67"/>
      <c r="FH47" s="67"/>
      <c r="FI47" s="67"/>
      <c r="FJ47" s="67"/>
      <c r="FK47" s="67"/>
      <c r="FL47" s="67"/>
      <c r="FM47" s="67"/>
      <c r="FN47" s="67"/>
      <c r="FO47" s="67"/>
      <c r="FP47" s="67"/>
      <c r="FQ47" s="67"/>
      <c r="FR47" s="67"/>
      <c r="FS47" s="67"/>
      <c r="FT47" s="67"/>
      <c r="FU47" s="67"/>
      <c r="FV47" s="67"/>
      <c r="FW47" s="67"/>
      <c r="FX47" s="67"/>
      <c r="FY47" s="67"/>
      <c r="FZ47" s="67"/>
      <c r="GA47" s="67"/>
      <c r="GB47" s="67"/>
      <c r="GC47" s="67"/>
      <c r="GD47" s="67"/>
      <c r="GE47" s="67"/>
      <c r="GF47" s="67"/>
      <c r="GG47" s="67"/>
      <c r="GH47" s="67"/>
      <c r="GI47" s="67"/>
      <c r="GJ47" s="67"/>
      <c r="GK47" s="67"/>
      <c r="GL47" s="67"/>
      <c r="GM47" s="67"/>
      <c r="GN47" s="67"/>
      <c r="GO47" s="67"/>
      <c r="GP47" s="67"/>
      <c r="GQ47" s="67"/>
      <c r="GR47" s="67"/>
      <c r="GS47" s="67"/>
      <c r="GT47" s="67"/>
      <c r="GU47" s="67"/>
      <c r="GV47" s="67"/>
      <c r="GW47" s="67"/>
      <c r="GX47" s="67"/>
      <c r="GY47" s="67"/>
      <c r="GZ47" s="67"/>
      <c r="HA47" s="67"/>
      <c r="HB47" s="67"/>
      <c r="HC47" s="67"/>
      <c r="HD47" s="67"/>
      <c r="HE47" s="67"/>
      <c r="HF47" s="67"/>
      <c r="HG47" s="67"/>
      <c r="HH47" s="67"/>
      <c r="HI47" s="67"/>
      <c r="HJ47" s="67"/>
      <c r="HK47" s="67"/>
      <c r="HL47" s="67"/>
      <c r="HM47" s="67"/>
      <c r="HN47" s="67"/>
      <c r="HO47" s="67"/>
      <c r="HP47" s="67"/>
      <c r="HQ47" s="67"/>
      <c r="HR47" s="67"/>
      <c r="HS47" s="67"/>
      <c r="HT47" s="67"/>
      <c r="HU47" s="67"/>
      <c r="HV47" s="67"/>
      <c r="HW47" s="67"/>
      <c r="HX47" s="67"/>
      <c r="HY47" s="67"/>
      <c r="HZ47" s="67"/>
      <c r="IA47" s="67"/>
      <c r="IB47" s="67"/>
      <c r="IC47" s="67"/>
      <c r="ID47" s="67"/>
      <c r="IE47" s="67"/>
      <c r="IF47" s="67"/>
      <c r="IG47" s="67"/>
      <c r="IH47" s="67"/>
      <c r="II47" s="67"/>
      <c r="IJ47" s="67"/>
      <c r="IK47" s="67"/>
      <c r="IL47" s="67"/>
      <c r="IM47" s="67"/>
      <c r="IN47" s="67"/>
      <c r="IO47" s="67"/>
      <c r="IP47" s="67"/>
      <c r="IQ47" s="67"/>
      <c r="IR47" s="67"/>
      <c r="IS47" s="67"/>
      <c r="IT47" s="67"/>
      <c r="IU47" s="67"/>
      <c r="IV47" s="67"/>
      <c r="IW47" s="67"/>
      <c r="IX47" s="67"/>
    </row>
    <row r="48" spans="1:258" s="31" customFormat="1" ht="15" customHeight="1" x14ac:dyDescent="0.3">
      <c r="A48" s="10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5"/>
      <c r="Q48" s="58"/>
      <c r="R48" s="58" t="s">
        <v>76</v>
      </c>
      <c r="S48" s="58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6"/>
      <c r="AT48" s="10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3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BU48" s="67"/>
      <c r="BV48" s="67"/>
      <c r="BW48" s="67"/>
      <c r="BX48" s="67"/>
      <c r="BY48" s="67"/>
      <c r="BZ48" s="67"/>
      <c r="CA48" s="67"/>
      <c r="CB48" s="67"/>
      <c r="CC48" s="67"/>
      <c r="CD48" s="67"/>
      <c r="CE48" s="67"/>
      <c r="CF48" s="67"/>
      <c r="CG48" s="67"/>
      <c r="CH48" s="67"/>
      <c r="CI48" s="67"/>
      <c r="CJ48" s="67"/>
      <c r="CK48" s="67"/>
      <c r="CL48" s="67"/>
      <c r="CM48" s="67"/>
      <c r="CN48" s="67"/>
      <c r="CO48" s="67"/>
      <c r="CP48" s="67"/>
      <c r="CQ48" s="67"/>
      <c r="CR48" s="67"/>
      <c r="CS48" s="67"/>
      <c r="CT48" s="67"/>
      <c r="CU48" s="67"/>
      <c r="CV48" s="67"/>
      <c r="CW48" s="67"/>
      <c r="CX48" s="67"/>
      <c r="CY48" s="67"/>
      <c r="CZ48" s="67"/>
      <c r="DA48" s="67"/>
      <c r="DB48" s="67"/>
      <c r="DC48" s="67"/>
      <c r="DD48" s="67"/>
      <c r="DE48" s="67"/>
      <c r="DF48" s="67"/>
      <c r="DG48" s="67"/>
      <c r="DH48" s="67"/>
      <c r="DI48" s="67"/>
      <c r="DJ48" s="67"/>
      <c r="DK48" s="67"/>
      <c r="DL48" s="67"/>
      <c r="DM48" s="67"/>
      <c r="DN48" s="67"/>
      <c r="DO48" s="67"/>
      <c r="DP48" s="67"/>
      <c r="DQ48" s="67"/>
      <c r="DR48" s="67"/>
      <c r="DS48" s="67"/>
      <c r="DT48" s="67"/>
      <c r="DU48" s="67"/>
      <c r="DV48" s="67"/>
      <c r="DW48" s="67"/>
      <c r="DX48" s="67"/>
      <c r="DY48" s="67"/>
      <c r="DZ48" s="67"/>
      <c r="EA48" s="67"/>
      <c r="EB48" s="67"/>
      <c r="EC48" s="67"/>
      <c r="ED48" s="67"/>
      <c r="EE48" s="67"/>
      <c r="EF48" s="67"/>
      <c r="EG48" s="67"/>
      <c r="EH48" s="67"/>
      <c r="EI48" s="67"/>
      <c r="EJ48" s="67"/>
      <c r="EK48" s="67"/>
      <c r="EL48" s="67"/>
      <c r="EM48" s="67"/>
      <c r="EN48" s="67"/>
      <c r="EO48" s="67"/>
      <c r="EP48" s="67"/>
      <c r="EQ48" s="67"/>
      <c r="ER48" s="67"/>
      <c r="ES48" s="67"/>
      <c r="ET48" s="67"/>
      <c r="EU48" s="67"/>
      <c r="EV48" s="67"/>
      <c r="EW48" s="67"/>
      <c r="EX48" s="67"/>
      <c r="EY48" s="67"/>
      <c r="EZ48" s="67"/>
      <c r="FA48" s="67"/>
      <c r="FB48" s="67"/>
      <c r="FC48" s="67"/>
      <c r="FD48" s="67"/>
      <c r="FE48" s="67"/>
      <c r="FF48" s="67"/>
      <c r="FG48" s="67"/>
      <c r="FH48" s="67"/>
      <c r="FI48" s="67"/>
      <c r="FJ48" s="67"/>
      <c r="FK48" s="67"/>
      <c r="FL48" s="67"/>
      <c r="FM48" s="67"/>
      <c r="FN48" s="67"/>
      <c r="FO48" s="67"/>
      <c r="FP48" s="67"/>
      <c r="FQ48" s="67"/>
      <c r="FR48" s="67"/>
      <c r="FS48" s="67"/>
      <c r="FT48" s="67"/>
      <c r="FU48" s="67"/>
      <c r="FV48" s="67"/>
      <c r="FW48" s="67"/>
      <c r="FX48" s="67"/>
      <c r="FY48" s="67"/>
      <c r="FZ48" s="67"/>
      <c r="GA48" s="67"/>
      <c r="GB48" s="67"/>
      <c r="GC48" s="67"/>
      <c r="GD48" s="67"/>
      <c r="GE48" s="67"/>
      <c r="GF48" s="67"/>
      <c r="GG48" s="67"/>
      <c r="GH48" s="67"/>
      <c r="GI48" s="67"/>
      <c r="GJ48" s="67"/>
      <c r="GK48" s="67"/>
      <c r="GL48" s="67"/>
      <c r="GM48" s="67"/>
      <c r="GN48" s="67"/>
      <c r="GO48" s="67"/>
      <c r="GP48" s="67"/>
      <c r="GQ48" s="67"/>
      <c r="GR48" s="67"/>
      <c r="GS48" s="67"/>
      <c r="GT48" s="67"/>
      <c r="GU48" s="67"/>
      <c r="GV48" s="67"/>
      <c r="GW48" s="67"/>
      <c r="GX48" s="67"/>
      <c r="GY48" s="67"/>
      <c r="GZ48" s="67"/>
      <c r="HA48" s="67"/>
      <c r="HB48" s="67"/>
      <c r="HC48" s="67"/>
      <c r="HD48" s="67"/>
      <c r="HE48" s="67"/>
      <c r="HF48" s="67"/>
      <c r="HG48" s="67"/>
      <c r="HH48" s="67"/>
      <c r="HI48" s="67"/>
      <c r="HJ48" s="67"/>
      <c r="HK48" s="67"/>
      <c r="HL48" s="67"/>
      <c r="HM48" s="67"/>
      <c r="HN48" s="67"/>
      <c r="HO48" s="67"/>
      <c r="HP48" s="67"/>
      <c r="HQ48" s="67"/>
      <c r="HR48" s="67"/>
      <c r="HS48" s="67"/>
      <c r="HT48" s="67"/>
      <c r="HU48" s="67"/>
      <c r="HV48" s="67"/>
      <c r="HW48" s="67"/>
      <c r="HX48" s="67"/>
      <c r="HY48" s="67"/>
      <c r="HZ48" s="67"/>
      <c r="IA48" s="67"/>
      <c r="IB48" s="67"/>
      <c r="IC48" s="67"/>
      <c r="ID48" s="67"/>
      <c r="IE48" s="67"/>
      <c r="IF48" s="67"/>
      <c r="IG48" s="67"/>
      <c r="IH48" s="67"/>
      <c r="II48" s="67"/>
      <c r="IJ48" s="67"/>
      <c r="IK48" s="67"/>
      <c r="IL48" s="67"/>
      <c r="IM48" s="67"/>
      <c r="IN48" s="67"/>
      <c r="IO48" s="67"/>
      <c r="IP48" s="67"/>
      <c r="IQ48" s="67"/>
      <c r="IR48" s="67"/>
      <c r="IS48" s="67"/>
      <c r="IT48" s="67"/>
      <c r="IU48" s="67"/>
      <c r="IV48" s="67"/>
      <c r="IW48" s="67"/>
      <c r="IX48" s="67"/>
    </row>
    <row r="49" spans="1:258" s="31" customFormat="1" ht="15" customHeight="1" x14ac:dyDescent="0.3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5"/>
      <c r="Q49" s="58"/>
      <c r="R49" s="58" t="s">
        <v>75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6"/>
      <c r="AT49" s="10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3"/>
      <c r="BJ49" s="67"/>
      <c r="BK49" s="67"/>
      <c r="BL49" s="67"/>
      <c r="BM49" s="67"/>
      <c r="BN49" s="67"/>
      <c r="BO49" s="67"/>
      <c r="BP49" s="67"/>
      <c r="BQ49" s="67"/>
      <c r="BR49" s="67"/>
      <c r="BS49" s="67"/>
      <c r="BT49" s="67"/>
      <c r="BU49" s="67"/>
      <c r="BV49" s="67"/>
      <c r="BW49" s="67"/>
      <c r="BX49" s="67"/>
      <c r="BY49" s="67"/>
      <c r="BZ49" s="67"/>
      <c r="CA49" s="67"/>
      <c r="CB49" s="67"/>
      <c r="CC49" s="67"/>
      <c r="CD49" s="67"/>
      <c r="CE49" s="67"/>
      <c r="CF49" s="67"/>
      <c r="CG49" s="67"/>
      <c r="CH49" s="67"/>
      <c r="CI49" s="67"/>
      <c r="CJ49" s="67"/>
      <c r="CK49" s="67"/>
      <c r="CL49" s="67"/>
      <c r="CM49" s="67"/>
      <c r="CN49" s="67"/>
      <c r="CO49" s="67"/>
      <c r="CP49" s="67"/>
      <c r="CQ49" s="67"/>
      <c r="CR49" s="67"/>
      <c r="CS49" s="67"/>
      <c r="CT49" s="67"/>
      <c r="CU49" s="67"/>
      <c r="CV49" s="67"/>
      <c r="CW49" s="67"/>
      <c r="CX49" s="67"/>
      <c r="CY49" s="67"/>
      <c r="CZ49" s="67"/>
      <c r="DA49" s="67"/>
      <c r="DB49" s="67"/>
      <c r="DC49" s="67"/>
      <c r="DD49" s="67"/>
      <c r="DE49" s="67"/>
      <c r="DF49" s="67"/>
      <c r="DG49" s="67"/>
      <c r="DH49" s="67"/>
      <c r="DI49" s="67"/>
      <c r="DJ49" s="67"/>
      <c r="DK49" s="67"/>
      <c r="DL49" s="67"/>
      <c r="DM49" s="67"/>
      <c r="DN49" s="67"/>
      <c r="DO49" s="67"/>
      <c r="DP49" s="67"/>
      <c r="DQ49" s="67"/>
      <c r="DR49" s="67"/>
      <c r="DS49" s="67"/>
      <c r="DT49" s="67"/>
      <c r="DU49" s="67"/>
      <c r="DV49" s="67"/>
      <c r="DW49" s="67"/>
      <c r="DX49" s="67"/>
      <c r="DY49" s="67"/>
      <c r="DZ49" s="67"/>
      <c r="EA49" s="67"/>
      <c r="EB49" s="67"/>
      <c r="EC49" s="67"/>
      <c r="ED49" s="67"/>
      <c r="EE49" s="67"/>
      <c r="EF49" s="67"/>
      <c r="EG49" s="67"/>
      <c r="EH49" s="67"/>
      <c r="EI49" s="67"/>
      <c r="EJ49" s="67"/>
      <c r="EK49" s="67"/>
      <c r="EL49" s="67"/>
      <c r="EM49" s="67"/>
      <c r="EN49" s="67"/>
      <c r="EO49" s="67"/>
      <c r="EP49" s="67"/>
      <c r="EQ49" s="67"/>
      <c r="ER49" s="67"/>
      <c r="ES49" s="67"/>
      <c r="ET49" s="67"/>
      <c r="EU49" s="67"/>
      <c r="EV49" s="67"/>
      <c r="EW49" s="67"/>
      <c r="EX49" s="67"/>
      <c r="EY49" s="67"/>
      <c r="EZ49" s="67"/>
      <c r="FA49" s="67"/>
      <c r="FB49" s="67"/>
      <c r="FC49" s="67"/>
      <c r="FD49" s="67"/>
      <c r="FE49" s="67"/>
      <c r="FF49" s="67"/>
      <c r="FG49" s="67"/>
      <c r="FH49" s="67"/>
      <c r="FI49" s="67"/>
      <c r="FJ49" s="67"/>
      <c r="FK49" s="67"/>
      <c r="FL49" s="67"/>
      <c r="FM49" s="67"/>
      <c r="FN49" s="67"/>
      <c r="FO49" s="67"/>
      <c r="FP49" s="67"/>
      <c r="FQ49" s="67"/>
      <c r="FR49" s="67"/>
      <c r="FS49" s="67"/>
      <c r="FT49" s="67"/>
      <c r="FU49" s="67"/>
      <c r="FV49" s="67"/>
      <c r="FW49" s="67"/>
      <c r="FX49" s="67"/>
      <c r="FY49" s="67"/>
      <c r="FZ49" s="67"/>
      <c r="GA49" s="67"/>
      <c r="GB49" s="67"/>
      <c r="GC49" s="67"/>
      <c r="GD49" s="67"/>
      <c r="GE49" s="67"/>
      <c r="GF49" s="67"/>
      <c r="GG49" s="67"/>
      <c r="GH49" s="67"/>
      <c r="GI49" s="67"/>
      <c r="GJ49" s="67"/>
      <c r="GK49" s="67"/>
      <c r="GL49" s="67"/>
      <c r="GM49" s="67"/>
      <c r="GN49" s="67"/>
      <c r="GO49" s="67"/>
      <c r="GP49" s="67"/>
      <c r="GQ49" s="67"/>
      <c r="GR49" s="67"/>
      <c r="GS49" s="67"/>
      <c r="GT49" s="67"/>
      <c r="GU49" s="67"/>
      <c r="GV49" s="67"/>
      <c r="GW49" s="67"/>
      <c r="GX49" s="67"/>
      <c r="GY49" s="67"/>
      <c r="GZ49" s="67"/>
      <c r="HA49" s="67"/>
      <c r="HB49" s="67"/>
      <c r="HC49" s="67"/>
      <c r="HD49" s="67"/>
      <c r="HE49" s="67"/>
      <c r="HF49" s="67"/>
      <c r="HG49" s="67"/>
      <c r="HH49" s="67"/>
      <c r="HI49" s="67"/>
      <c r="HJ49" s="67"/>
      <c r="HK49" s="67"/>
      <c r="HL49" s="67"/>
      <c r="HM49" s="67"/>
      <c r="HN49" s="67"/>
      <c r="HO49" s="67"/>
      <c r="HP49" s="67"/>
      <c r="HQ49" s="67"/>
      <c r="HR49" s="67"/>
      <c r="HS49" s="67"/>
      <c r="HT49" s="67"/>
      <c r="HU49" s="67"/>
      <c r="HV49" s="67"/>
      <c r="HW49" s="67"/>
      <c r="HX49" s="67"/>
      <c r="HY49" s="67"/>
      <c r="HZ49" s="67"/>
      <c r="IA49" s="67"/>
      <c r="IB49" s="67"/>
      <c r="IC49" s="67"/>
      <c r="ID49" s="67"/>
      <c r="IE49" s="67"/>
      <c r="IF49" s="67"/>
      <c r="IG49" s="67"/>
      <c r="IH49" s="67"/>
      <c r="II49" s="67"/>
      <c r="IJ49" s="67"/>
      <c r="IK49" s="67"/>
      <c r="IL49" s="67"/>
      <c r="IM49" s="67"/>
      <c r="IN49" s="67"/>
      <c r="IO49" s="67"/>
      <c r="IP49" s="67"/>
      <c r="IQ49" s="67"/>
      <c r="IR49" s="67"/>
      <c r="IS49" s="67"/>
      <c r="IT49" s="67"/>
      <c r="IU49" s="67"/>
      <c r="IV49" s="67"/>
      <c r="IW49" s="67"/>
      <c r="IX49" s="67"/>
    </row>
    <row r="50" spans="1:258" ht="15" customHeight="1" x14ac:dyDescent="0.3">
      <c r="A50" s="20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4"/>
      <c r="AT50" s="20"/>
      <c r="AU50" s="21"/>
      <c r="AV50" s="25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2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</sheetData>
  <mergeCells count="48">
    <mergeCell ref="R2:AA2"/>
    <mergeCell ref="AB2:AD2"/>
    <mergeCell ref="AE2:AP2"/>
    <mergeCell ref="AQ2:AS2"/>
    <mergeCell ref="AT2:AZ2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BD1:BI1"/>
    <mergeCell ref="A9:C9"/>
    <mergeCell ref="D9:O9"/>
    <mergeCell ref="P9:AD9"/>
    <mergeCell ref="AE9:BI9"/>
    <mergeCell ref="A7:C7"/>
    <mergeCell ref="D7:O7"/>
    <mergeCell ref="P7:AD7"/>
    <mergeCell ref="AE7:BI7"/>
    <mergeCell ref="A8:C8"/>
    <mergeCell ref="D8:O8"/>
    <mergeCell ref="P8:AD8"/>
    <mergeCell ref="AE8:BI8"/>
    <mergeCell ref="A10:C10"/>
    <mergeCell ref="D10:O10"/>
    <mergeCell ref="P10:AD10"/>
    <mergeCell ref="AE10:BI10"/>
    <mergeCell ref="A14:O14"/>
    <mergeCell ref="P14:AS14"/>
    <mergeCell ref="AT14:BI14"/>
    <mergeCell ref="A11:C11"/>
    <mergeCell ref="D11:O11"/>
    <mergeCell ref="P11:AD11"/>
    <mergeCell ref="AE11:BI11"/>
    <mergeCell ref="A12:C12"/>
    <mergeCell ref="D12:O12"/>
    <mergeCell ref="P12:AD12"/>
    <mergeCell ref="AE12:BI12"/>
  </mergeCells>
  <phoneticPr fontId="1"/>
  <dataValidations disablePrompts="1" count="2">
    <dataValidation type="list" allowBlank="1" showErrorMessage="1" sqref="A9:A11" xr:uid="{00000000-0002-0000-0100-000000000000}">
      <formula1>"引数,戻り値,例外,"</formula1>
    </dataValidation>
    <dataValidation type="list" allowBlank="1" showErrorMessage="1" sqref="A12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5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メソッド仕様（ItemSerch）</vt:lpstr>
      <vt:lpstr>クラス仕様!Print_Area</vt:lpstr>
      <vt:lpstr>'メソッド仕様（ItemSerch）'!Print_Area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2024-10-11T08:30:19Z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